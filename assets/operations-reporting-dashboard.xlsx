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eekly Data" sheetId="2" state="visible" r:id="rId2"/>
  </sheets>
  <definedNames>
    <definedName name="_xlnm.Print_Area" localSheetId="0">'Dashboard'!$A$1:$P$24</definedName>
    <definedName name="_xlnm._FilterDatabase" localSheetId="1" hidden="1">'Weekly Data'!$A$3:$F$11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ptos"/>
      <b val="1"/>
      <color rgb="00171A17"/>
      <sz val="10"/>
    </font>
    <font>
      <name val="Aptos"/>
      <b val="1"/>
      <color rgb="00EAE9E2"/>
    </font>
    <font>
      <name val="Aptos"/>
      <color rgb="00EAE9E2"/>
    </font>
    <font>
      <name val="Aptos Display"/>
      <b val="1"/>
      <color rgb="00EAE9E2"/>
      <sz val="19"/>
    </font>
    <font>
      <name val="Aptos"/>
      <b val="1"/>
      <color rgb="00A3A69D"/>
      <sz val="9"/>
    </font>
    <font>
      <name val="Aptos Display"/>
      <b val="1"/>
      <color rgb="00D2FF4A"/>
      <sz val="23"/>
    </font>
    <font>
      <name val="Aptos"/>
      <i val="1"/>
      <color rgb="00A3A69D"/>
      <sz val="9"/>
    </font>
  </fonts>
  <fills count="5">
    <fill>
      <patternFill/>
    </fill>
    <fill>
      <patternFill patternType="gray125"/>
    </fill>
    <fill>
      <patternFill patternType="solid">
        <fgColor rgb="00D2FF4A"/>
      </patternFill>
    </fill>
    <fill>
      <patternFill patternType="solid">
        <fgColor rgb="00222722"/>
      </patternFill>
    </fill>
    <fill>
      <patternFill patternType="solid">
        <fgColor rgb="00171A17"/>
      </patternFill>
    </fill>
  </fills>
  <borders count="2">
    <border>
      <left/>
      <right/>
      <top/>
      <bottom/>
      <diagonal/>
    </border>
    <border>
      <bottom style="thin">
        <color rgb="00D2FF4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4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6" fillId="3" borderId="0" applyAlignment="1" pivotButton="0" quotePrefix="0" xfId="0">
      <alignment vertical="center"/>
    </xf>
    <xf numFmtId="3" fontId="6" fillId="3" borderId="0" applyAlignment="1" pivotButton="0" quotePrefix="0" xfId="0">
      <alignment vertical="center"/>
    </xf>
    <xf numFmtId="0" fontId="7" fillId="0" borderId="0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9" fontId="3" fillId="4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9" fontId="3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Contacts received vs. resolved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Data'!B3</f>
            </strRef>
          </tx>
          <spPr>
            <a:solidFill>
              <a:srgbClr val="D2FF4A"/>
            </a:solidFill>
            <a:ln>
              <a:solidFill>
                <a:srgbClr val="D2FF4A"/>
              </a:solidFill>
              <a:prstDash val="solid"/>
            </a:ln>
          </spPr>
          <cat>
            <numRef>
              <f>'Weekly Data'!$A$4:$A$11</f>
            </numRef>
          </cat>
          <val>
            <numRef>
              <f>'Weekly Data'!$B$4:$B$11</f>
            </numRef>
          </val>
        </ser>
        <ser>
          <idx val="1"/>
          <order val="1"/>
          <tx>
            <strRef>
              <f>'Weekly Data'!C3</f>
            </strRef>
          </tx>
          <spPr>
            <a:solidFill>
              <a:srgbClr val="89938D"/>
            </a:solidFill>
            <a:ln>
              <a:solidFill>
                <a:srgbClr val="89938D"/>
              </a:solidFill>
              <a:prstDash val="solid"/>
            </a:ln>
          </spPr>
          <cat>
            <numRef>
              <f>'Weekly Data'!$A$4:$A$11</f>
            </numRef>
          </cat>
          <val>
            <numRef>
              <f>'Weekly Data'!$C$4:$C$11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Contacts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SLA &amp; quality trend</a:t>
            </a:r>
          </a:p>
        </rich>
      </tx>
    </title>
    <plotArea>
      <lineChart>
        <grouping val="standard"/>
        <ser>
          <idx val="0"/>
          <order val="0"/>
          <tx>
            <strRef>
              <f>'Weekly Data'!D3</f>
            </strRef>
          </tx>
          <spPr>
            <a:ln w="26000">
              <a:solidFill>
                <a:srgbClr val="D2FF4A"/>
              </a:solidFill>
              <a:prstDash val="solid"/>
            </a:ln>
          </spPr>
          <marker>
            <symbol val="circle"/>
            <size val="6"/>
            <spPr>
              <a:solidFill>
                <a:srgbClr val="D2FF4A"/>
              </a:solidFill>
              <a:ln>
                <a:solidFill>
                  <a:srgbClr val="D2FF4A"/>
                </a:solidFill>
                <a:prstDash val="solid"/>
              </a:ln>
            </spPr>
          </marker>
          <cat>
            <numRef>
              <f>'Weekly Data'!$A$4:$A$11</f>
            </numRef>
          </cat>
          <val>
            <numRef>
              <f>'Weekly Data'!$D$4:$D$11</f>
            </numRef>
          </val>
        </ser>
        <ser>
          <idx val="1"/>
          <order val="1"/>
          <tx>
            <strRef>
              <f>'Weekly Data'!E3</f>
            </strRef>
          </tx>
          <spPr>
            <a:ln w="26000">
              <a:solidFill>
                <a:srgbClr val="83B8AF"/>
              </a:solidFill>
              <a:prstDash val="solid"/>
            </a:ln>
          </spPr>
          <marker>
            <symbol val="circle"/>
            <size val="6"/>
            <spPr>
              <a:solidFill>
                <a:srgbClr val="83B8AF"/>
              </a:solidFill>
              <a:ln>
                <a:solidFill>
                  <a:srgbClr val="83B8AF"/>
                </a:solidFill>
                <a:prstDash val="solid"/>
              </a:ln>
            </spPr>
          </marker>
          <cat>
            <numRef>
              <f>'Weekly Data'!$A$4:$A$11</f>
            </numRef>
          </cat>
          <val>
            <numRef>
              <f>'Weekly Data'!$E$4:$E$11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.8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9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7</row>
      <rowOff>0</rowOff>
    </from>
    <ext cx="486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WeeklyOperationsData" displayName="WeeklyOperationsData" ref="A3:F11" headerRowCount="1">
  <autoFilter ref="A3:F11"/>
  <tableColumns count="6">
    <tableColumn id="1" name="Week"/>
    <tableColumn id="2" name="Contacts received"/>
    <tableColumn id="3" name="Contacts resolved"/>
    <tableColumn id="4" name="SLA met"/>
    <tableColumn id="5" name="QA score"/>
    <tableColumn id="6" name="Backlog at week en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4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8" customHeight="1">
      <c r="A1" s="1" t="inlineStr">
        <is>
          <t>SERVICE OPERATIONS  /  PERFORMANCE OVERVIEW</t>
        </is>
      </c>
    </row>
    <row r="2" ht="26" customHeight="1">
      <c r="A2" s="2" t="inlineStr">
        <is>
          <t>DEMO WORKBOOK ? ALL VALUES ARE ILLUSTRATIVE SAMPLE DATA, NOT ACTUAL WORK RESULTS</t>
        </is>
      </c>
    </row>
    <row r="4" ht="25" customHeight="1">
      <c r="A4" s="3" t="inlineStr">
        <is>
          <t>AVG. SLA MET</t>
        </is>
      </c>
      <c r="E4" s="3" t="inlineStr">
        <is>
          <t>AVG. QA SCORE</t>
        </is>
      </c>
      <c r="I4" s="3" t="inlineStr">
        <is>
          <t>CONTACTS / 8 WEEKS</t>
        </is>
      </c>
      <c r="M4" s="3" t="inlineStr">
        <is>
          <t>LATEST BACKLOG</t>
        </is>
      </c>
    </row>
    <row r="5" ht="25" customHeight="1">
      <c r="A5" s="4">
        <f>AVERAGE('Weekly Data'!D4:D11)</f>
        <v/>
      </c>
      <c r="E5" s="4">
        <f>AVERAGE('Weekly Data'!E4:E11)</f>
        <v/>
      </c>
      <c r="I5" s="5">
        <f>SUM('Weekly Data'!B4:B11)</f>
        <v/>
      </c>
      <c r="M5" s="5">
        <f>'Weekly Data'!F11</f>
        <v/>
      </c>
    </row>
    <row r="24" ht="28" customHeight="1">
      <c r="A24" s="6" t="inlineStr">
        <is>
          <t>EDIT THE SAMPLE ROWS ON ?WEEKLY DATA? TO EXPLORE THE DASHBOARD. Use only data you are authorized to share.</t>
        </is>
      </c>
    </row>
  </sheetData>
  <mergeCells count="11">
    <mergeCell ref="A5:C5"/>
    <mergeCell ref="A1:P1"/>
    <mergeCell ref="E5:G5"/>
    <mergeCell ref="I5:K5"/>
    <mergeCell ref="M4:O4"/>
    <mergeCell ref="M5:O5"/>
    <mergeCell ref="E4:G4"/>
    <mergeCell ref="I4:K4"/>
    <mergeCell ref="A4:C4"/>
    <mergeCell ref="A24:P24"/>
    <mergeCell ref="A2:P2"/>
  </mergeCells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4" customWidth="1" min="4" max="4"/>
    <col width="14" customWidth="1" min="5" max="5"/>
    <col width="25" customWidth="1" min="6" max="6"/>
  </cols>
  <sheetData>
    <row r="1" ht="25" customHeight="1">
      <c r="A1" s="2" t="inlineStr">
        <is>
          <t>ILLUSTRATIVE SAMPLE DATA ONLY ? NOT EMPLOYER DATA OR PERSONAL PERFORMANCE RESULTS</t>
        </is>
      </c>
    </row>
    <row r="3">
      <c r="A3" s="7" t="inlineStr">
        <is>
          <t>Week</t>
        </is>
      </c>
      <c r="B3" s="7" t="inlineStr">
        <is>
          <t>Contacts received</t>
        </is>
      </c>
      <c r="C3" s="7" t="inlineStr">
        <is>
          <t>Contacts resolved</t>
        </is>
      </c>
      <c r="D3" s="7" t="inlineStr">
        <is>
          <t>SLA met</t>
        </is>
      </c>
      <c r="E3" s="7" t="inlineStr">
        <is>
          <t>QA score</t>
        </is>
      </c>
      <c r="F3" s="7" t="inlineStr">
        <is>
          <t>Backlog at week end</t>
        </is>
      </c>
    </row>
    <row r="4">
      <c r="A4" s="8" t="inlineStr">
        <is>
          <t>W01</t>
        </is>
      </c>
      <c r="B4" s="8" t="n">
        <v>420</v>
      </c>
      <c r="C4" s="8" t="n">
        <v>414</v>
      </c>
      <c r="D4" s="9" t="n">
        <v>0.9399999999999999</v>
      </c>
      <c r="E4" s="9" t="n">
        <v>0.92</v>
      </c>
      <c r="F4" s="8" t="n">
        <v>130</v>
      </c>
    </row>
    <row r="5">
      <c r="A5" s="10" t="inlineStr">
        <is>
          <t>W02</t>
        </is>
      </c>
      <c r="B5" s="10" t="n">
        <v>445</v>
      </c>
      <c r="C5" s="10" t="n">
        <v>437</v>
      </c>
      <c r="D5" s="11" t="n">
        <v>0.92</v>
      </c>
      <c r="E5" s="11" t="n">
        <v>0.9399999999999999</v>
      </c>
      <c r="F5" s="10" t="n">
        <v>138</v>
      </c>
    </row>
    <row r="6">
      <c r="A6" s="8" t="inlineStr">
        <is>
          <t>W03</t>
        </is>
      </c>
      <c r="B6" s="8" t="n">
        <v>438</v>
      </c>
      <c r="C6" s="8" t="n">
        <v>441</v>
      </c>
      <c r="D6" s="9" t="n">
        <v>0.95</v>
      </c>
      <c r="E6" s="9" t="n">
        <v>0.93</v>
      </c>
      <c r="F6" s="8" t="n">
        <v>135</v>
      </c>
    </row>
    <row r="7">
      <c r="A7" s="10" t="inlineStr">
        <is>
          <t>W04</t>
        </is>
      </c>
      <c r="B7" s="10" t="n">
        <v>470</v>
      </c>
      <c r="C7" s="10" t="n">
        <v>463</v>
      </c>
      <c r="D7" s="11" t="n">
        <v>0.93</v>
      </c>
      <c r="E7" s="11" t="n">
        <v>0.95</v>
      </c>
      <c r="F7" s="10" t="n">
        <v>142</v>
      </c>
    </row>
    <row r="8">
      <c r="A8" s="8" t="inlineStr">
        <is>
          <t>W05</t>
        </is>
      </c>
      <c r="B8" s="8" t="n">
        <v>455</v>
      </c>
      <c r="C8" s="8" t="n">
        <v>448</v>
      </c>
      <c r="D8" s="9" t="n">
        <v>0.96</v>
      </c>
      <c r="E8" s="9" t="n">
        <v>0.9399999999999999</v>
      </c>
      <c r="F8" s="8" t="n">
        <v>149</v>
      </c>
    </row>
    <row r="9">
      <c r="A9" s="10" t="inlineStr">
        <is>
          <t>W06</t>
        </is>
      </c>
      <c r="B9" s="10" t="n">
        <v>490</v>
      </c>
      <c r="C9" s="10" t="n">
        <v>482</v>
      </c>
      <c r="D9" s="11" t="n">
        <v>0.9399999999999999</v>
      </c>
      <c r="E9" s="11" t="n">
        <v>0.96</v>
      </c>
      <c r="F9" s="10" t="n">
        <v>157</v>
      </c>
    </row>
    <row r="10">
      <c r="A10" s="8" t="inlineStr">
        <is>
          <t>W07</t>
        </is>
      </c>
      <c r="B10" s="8" t="n">
        <v>472</v>
      </c>
      <c r="C10" s="8" t="n">
        <v>475</v>
      </c>
      <c r="D10" s="9" t="n">
        <v>0.95</v>
      </c>
      <c r="E10" s="9" t="n">
        <v>0.95</v>
      </c>
      <c r="F10" s="8" t="n">
        <v>154</v>
      </c>
    </row>
    <row r="11">
      <c r="A11" s="10" t="inlineStr">
        <is>
          <t>W08</t>
        </is>
      </c>
      <c r="B11" s="10" t="n">
        <v>510</v>
      </c>
      <c r="C11" s="10" t="n">
        <v>503</v>
      </c>
      <c r="D11" s="11" t="n">
        <v>0.97</v>
      </c>
      <c r="E11" s="11" t="n">
        <v>0.97</v>
      </c>
      <c r="F11" s="10" t="n">
        <v>161</v>
      </c>
    </row>
  </sheetData>
  <autoFilter ref="A3:F11"/>
  <mergeCells count="1">
    <mergeCell ref="A1:F1"/>
  </mergeCells>
  <conditionalFormatting sqref="D4:E11">
    <cfRule type="colorScale" priority="1">
      <colorScale>
        <cfvo type="min"/>
        <cfvo type="percentile" val="50"/>
        <cfvo type="max"/>
        <color rgb="00F08080"/>
        <color rgb="00FFE08A"/>
        <color rgb="00D2FF4A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2026-10-16T11:05:17Z</dcterms:created>
  <dcterms:modified xsi:type="dcterms:W3CDTF">2026-10-16T11:05:17Z</dcterms:modified>
</cp:coreProperties>
</file>